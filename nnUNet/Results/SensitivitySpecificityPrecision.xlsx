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oPKOmmKnoTi4YrOYsQFxZG3ueyAQpDofbCHuyc2aKg="/>
    </ext>
  </extLst>
</workbook>
</file>

<file path=xl/sharedStrings.xml><?xml version="1.0" encoding="utf-8"?>
<sst xmlns="http://schemas.openxmlformats.org/spreadsheetml/2006/main" count="21" uniqueCount="18">
  <si>
    <t>Label</t>
  </si>
  <si>
    <t>N_samples</t>
  </si>
  <si>
    <t>Mean_Sensitivity_Fine</t>
  </si>
  <si>
    <t>Mean_Specificity_Fine</t>
  </si>
  <si>
    <t>Mean_Sensitivity_Orig</t>
  </si>
  <si>
    <t>Mean_Specificity_Orig</t>
  </si>
  <si>
    <t>Mean_Precision_Fine</t>
  </si>
  <si>
    <t>Mean_Precision_Orig</t>
  </si>
  <si>
    <t>Sensitivity (%)</t>
  </si>
  <si>
    <t>Specificity (%)</t>
  </si>
  <si>
    <t>Precision (%)</t>
  </si>
  <si>
    <t>VERTEBRAL REGIONS</t>
  </si>
  <si>
    <t>Original</t>
  </si>
  <si>
    <t>Fine-Tuned</t>
  </si>
  <si>
    <t>Fine-tuned</t>
  </si>
  <si>
    <t>Cervical</t>
  </si>
  <si>
    <t>Thoracic</t>
  </si>
  <si>
    <t>Lumbar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</si>
</sst>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rgb="FF0000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3" numFmtId="0" xfId="0" applyFill="1" applyFont="1"/>
    <xf borderId="0" fillId="3" fontId="5" numFmtId="0" xfId="0" applyAlignment="1" applyFont="1">
      <alignment horizontal="right" vertical="bottom"/>
    </xf>
    <xf borderId="0" fillId="4" fontId="6" numFmtId="0" xfId="0" applyAlignment="1" applyFill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2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/>
    </xf>
    <xf borderId="0" fillId="4" fontId="2" numFmtId="0" xfId="0" applyAlignment="1" applyFont="1">
      <alignment horizontal="center" vertical="bottom"/>
    </xf>
    <xf borderId="0" fillId="5" fontId="3" numFmtId="0" xfId="0" applyFill="1" applyFont="1"/>
    <xf borderId="0" fillId="5" fontId="5" numFmtId="0" xfId="0" applyAlignment="1" applyFont="1">
      <alignment horizontal="right" vertical="bottom"/>
    </xf>
    <xf borderId="0" fillId="6" fontId="3" numFmtId="0" xfId="0" applyFill="1" applyFont="1"/>
    <xf borderId="0" fillId="6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21.71"/>
    <col customWidth="1" min="4" max="4" width="26.43"/>
    <col customWidth="1" min="5" max="5" width="26.29"/>
    <col customWidth="1" min="6" max="6" width="25.29"/>
    <col customWidth="1" min="7" max="7" width="25.14"/>
    <col customWidth="1" min="8" max="8" width="21.57"/>
    <col customWidth="1" min="9" max="9" width="16.57"/>
    <col customWidth="1" min="10" max="10" width="21.86"/>
    <col customWidth="1" min="11" max="11" width="14.86"/>
    <col customWidth="1" min="12" max="12" width="13.57"/>
    <col customWidth="1" min="13" max="13" width="11.14"/>
    <col customWidth="1" min="14" max="14" width="13.14"/>
    <col customWidth="1" min="15" max="15" width="13.29"/>
    <col customWidth="1" min="16" max="16" width="14.43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J1" s="3"/>
      <c r="K1" s="4" t="s">
        <v>8</v>
      </c>
      <c r="M1" s="4" t="s">
        <v>9</v>
      </c>
      <c r="O1" s="4" t="s">
        <v>10</v>
      </c>
    </row>
    <row r="2">
      <c r="A2" s="5">
        <v>3.0</v>
      </c>
      <c r="B2" s="5">
        <v>30.0</v>
      </c>
      <c r="C2" s="5">
        <v>0.6197491539975873</v>
      </c>
      <c r="D2" s="5">
        <v>0.9985622891882997</v>
      </c>
      <c r="E2" s="5">
        <v>0.719824076807897</v>
      </c>
      <c r="F2" s="5">
        <v>0.9987245799100054</v>
      </c>
      <c r="G2" s="6">
        <v>0.6375279069157226</v>
      </c>
      <c r="H2" s="6">
        <v>0.7376642741157807</v>
      </c>
      <c r="J2" s="4" t="s">
        <v>11</v>
      </c>
      <c r="K2" s="7" t="s">
        <v>12</v>
      </c>
      <c r="L2" s="7" t="s">
        <v>13</v>
      </c>
      <c r="M2" s="7" t="s">
        <v>12</v>
      </c>
      <c r="N2" s="7" t="s">
        <v>14</v>
      </c>
      <c r="O2" s="8" t="s">
        <v>12</v>
      </c>
      <c r="P2" s="8" t="s">
        <v>13</v>
      </c>
    </row>
    <row r="3">
      <c r="A3" s="5">
        <v>4.0</v>
      </c>
      <c r="B3" s="5">
        <v>35.0</v>
      </c>
      <c r="C3" s="5">
        <v>0.6386042484167643</v>
      </c>
      <c r="D3" s="5">
        <v>0.9987361382406265</v>
      </c>
      <c r="E3" s="5">
        <v>0.724885670600979</v>
      </c>
      <c r="F3" s="5">
        <v>0.9987322741558934</v>
      </c>
      <c r="G3" s="6">
        <v>0.6419340364804393</v>
      </c>
      <c r="H3" s="6">
        <v>0.7153084207093936</v>
      </c>
      <c r="J3" s="9" t="s">
        <v>15</v>
      </c>
      <c r="K3" s="10">
        <f>(E19+E20+E21+E22+E23+E24+E25)/7*100</f>
        <v>88.33933663</v>
      </c>
      <c r="L3" s="10">
        <f>(C19+C20+C21+C22+C23+C24+C25)/7*100</f>
        <v>72.82033924</v>
      </c>
      <c r="M3" s="10">
        <f>(F19+F20+F21+F22+F23+F24+F25)/7*100</f>
        <v>99.97220488</v>
      </c>
      <c r="N3" s="10">
        <f>(D19+D20+D21+D22+D23+D24+D25)/7*100</f>
        <v>99.93643218</v>
      </c>
      <c r="O3" s="10">
        <f>(H25+H24+H23+H22+H21+H20+H19)/7*100</f>
        <v>91.45589872</v>
      </c>
      <c r="P3" s="10">
        <f>(G25+G24+G23+G22+G21+G20+G19)/7*100</f>
        <v>78.07019015</v>
      </c>
    </row>
    <row r="4">
      <c r="A4" s="5">
        <v>5.0</v>
      </c>
      <c r="B4" s="5">
        <v>39.0</v>
      </c>
      <c r="C4" s="5">
        <v>0.6846338761184022</v>
      </c>
      <c r="D4" s="5">
        <v>0.9989625339288345</v>
      </c>
      <c r="E4" s="5">
        <v>0.8090338137141695</v>
      </c>
      <c r="F4" s="5">
        <v>0.9990373094661802</v>
      </c>
      <c r="G4" s="6">
        <v>0.702721433840261</v>
      </c>
      <c r="H4" s="6">
        <v>0.7919186320159362</v>
      </c>
      <c r="J4" s="9" t="s">
        <v>16</v>
      </c>
      <c r="K4" s="10">
        <f>(E7+E8+E9+E10+E11+E12+E13+E14+E15+E16+E17+E18)/12*100</f>
        <v>85.32787896</v>
      </c>
      <c r="L4" s="10">
        <f>(C7+C8+C9+C10+C11+C12+C13+C14+C15+C16+C17+C18)/12*100</f>
        <v>48.09079138</v>
      </c>
      <c r="M4" s="10">
        <f>(F7+F8+F9+F10+F11+F12+F13+F14+F15+F16+F17+F18)/12*100</f>
        <v>99.95756013</v>
      </c>
      <c r="N4" s="10">
        <f>(D7+D8+D9+D10+D11+D12+D13+D14+D15+D16+D17+D18)/12*100</f>
        <v>99.92234752</v>
      </c>
      <c r="O4" s="10">
        <f>(H18+H17+H15+H16+H14+H13+H12+H11+H10+H9+H8+H7)/12*100</f>
        <v>90.28629814</v>
      </c>
      <c r="P4" s="10">
        <f>(G18+G17+G16+G15+G14+G13+G12+G11+G10+G9+G8+G7)/12*100</f>
        <v>58.88044001</v>
      </c>
    </row>
    <row r="5">
      <c r="A5" s="5">
        <v>6.0</v>
      </c>
      <c r="B5" s="5">
        <v>44.0</v>
      </c>
      <c r="C5" s="5">
        <v>0.7232510657487261</v>
      </c>
      <c r="D5" s="5">
        <v>0.9990118620141358</v>
      </c>
      <c r="E5" s="5">
        <v>0.8373435369421508</v>
      </c>
      <c r="F5" s="5">
        <v>0.9995250055000924</v>
      </c>
      <c r="G5" s="6">
        <v>0.7251673595113928</v>
      </c>
      <c r="H5" s="6">
        <v>0.85445616046105</v>
      </c>
      <c r="J5" s="11" t="s">
        <v>17</v>
      </c>
      <c r="K5" s="10">
        <f>(E2+E3+E4+E5+E6)/5*100</f>
        <v>79.77570763</v>
      </c>
      <c r="L5" s="10">
        <f>(C2+C3+C4+C5+C6)/5*100</f>
        <v>68.57269903</v>
      </c>
      <c r="M5" s="10">
        <f>(F2+F3+F4+F5+F6)/5*100</f>
        <v>99.91414532</v>
      </c>
      <c r="N5" s="10">
        <f>(D2+D3+D4+D5+D6)/5*100</f>
        <v>99.88983705</v>
      </c>
      <c r="O5" s="10">
        <f>(H6+H5+H4+H3+H2)/5*100</f>
        <v>80.53885768</v>
      </c>
      <c r="P5" s="10">
        <f>(G6+G4+G5+G3+G2)/5*100</f>
        <v>69.256874</v>
      </c>
    </row>
    <row r="6">
      <c r="A6" s="5">
        <v>7.0</v>
      </c>
      <c r="B6" s="5">
        <v>48.0</v>
      </c>
      <c r="C6" s="5">
        <v>0.7623966070912472</v>
      </c>
      <c r="D6" s="5">
        <v>0.9992190289293633</v>
      </c>
      <c r="E6" s="5">
        <v>0.8976982833212622</v>
      </c>
      <c r="F6" s="5">
        <v>0.999688096798805</v>
      </c>
      <c r="G6" s="6">
        <v>0.7554929631625971</v>
      </c>
      <c r="H6" s="6">
        <v>0.927595396664984</v>
      </c>
    </row>
    <row r="7">
      <c r="A7" s="12">
        <v>8.0</v>
      </c>
      <c r="B7" s="12">
        <v>46.0</v>
      </c>
      <c r="C7" s="12">
        <v>0.7816480141653827</v>
      </c>
      <c r="D7" s="12">
        <v>0.9994563956796663</v>
      </c>
      <c r="E7" s="12">
        <v>0.8976174875296474</v>
      </c>
      <c r="F7" s="12">
        <v>0.9997507336727073</v>
      </c>
      <c r="G7" s="13">
        <v>0.8006733455268883</v>
      </c>
      <c r="H7" s="13">
        <v>0.9364004259955102</v>
      </c>
    </row>
    <row r="8">
      <c r="A8" s="12">
        <v>9.0</v>
      </c>
      <c r="B8" s="12">
        <v>45.0</v>
      </c>
      <c r="C8" s="12">
        <v>0.6722019691560719</v>
      </c>
      <c r="D8" s="12">
        <v>0.999299890114117</v>
      </c>
      <c r="E8" s="12">
        <v>0.8342054207255615</v>
      </c>
      <c r="F8" s="12">
        <v>0.9994818468966099</v>
      </c>
      <c r="G8" s="13">
        <v>0.7036000560958757</v>
      </c>
      <c r="H8" s="13">
        <v>0.8719457494677099</v>
      </c>
    </row>
    <row r="9">
      <c r="A9" s="12">
        <v>10.0</v>
      </c>
      <c r="B9" s="12">
        <v>37.0</v>
      </c>
      <c r="C9" s="12">
        <v>0.6418329438984285</v>
      </c>
      <c r="D9" s="12">
        <v>0.9992545293458561</v>
      </c>
      <c r="E9" s="12">
        <v>0.759449793294762</v>
      </c>
      <c r="F9" s="12">
        <v>0.9994897338457354</v>
      </c>
      <c r="G9" s="13">
        <v>0.6636275029052294</v>
      </c>
      <c r="H9" s="13">
        <v>0.8440477382791581</v>
      </c>
    </row>
    <row r="10">
      <c r="A10" s="12">
        <v>11.0</v>
      </c>
      <c r="B10" s="12">
        <v>30.0</v>
      </c>
      <c r="C10" s="12">
        <v>0.6436944770244203</v>
      </c>
      <c r="D10" s="12">
        <v>0.9987714305904515</v>
      </c>
      <c r="E10" s="12">
        <v>0.8021411125175569</v>
      </c>
      <c r="F10" s="12">
        <v>0.9995877779632178</v>
      </c>
      <c r="G10" s="13">
        <v>0.6190357672764117</v>
      </c>
      <c r="H10" s="13">
        <v>0.864981955535555</v>
      </c>
    </row>
    <row r="11">
      <c r="A11" s="12">
        <v>12.0</v>
      </c>
      <c r="B11" s="12">
        <v>21.0</v>
      </c>
      <c r="C11" s="12">
        <v>0.5278515555732318</v>
      </c>
      <c r="D11" s="12">
        <v>0.9985323238868622</v>
      </c>
      <c r="E11" s="12">
        <v>0.78703970113647</v>
      </c>
      <c r="F11" s="12">
        <v>0.9994120290124113</v>
      </c>
      <c r="G11" s="13">
        <v>0.4603339294744693</v>
      </c>
      <c r="H11" s="13">
        <v>0.8941013038568449</v>
      </c>
    </row>
    <row r="12">
      <c r="A12" s="12">
        <v>13.0</v>
      </c>
      <c r="B12" s="12">
        <v>16.0</v>
      </c>
      <c r="C12" s="12">
        <v>0.2786055217844927</v>
      </c>
      <c r="D12" s="12">
        <v>0.9990015444534432</v>
      </c>
      <c r="E12" s="12">
        <v>0.8675284217112361</v>
      </c>
      <c r="F12" s="12">
        <v>0.9996888758323297</v>
      </c>
      <c r="G12" s="13">
        <v>0.4155830177190502</v>
      </c>
      <c r="H12" s="13">
        <v>0.9300018514771986</v>
      </c>
    </row>
    <row r="13">
      <c r="A13" s="12">
        <v>14.0</v>
      </c>
      <c r="B13" s="12">
        <v>11.0</v>
      </c>
      <c r="C13" s="12">
        <v>0.03240356417930804</v>
      </c>
      <c r="D13" s="12">
        <v>0.9998623207929725</v>
      </c>
      <c r="E13" s="12">
        <v>0.8624503001363842</v>
      </c>
      <c r="F13" s="12">
        <v>0.9997497776238877</v>
      </c>
      <c r="G13" s="13">
        <v>0.3945986799041158</v>
      </c>
      <c r="H13" s="13">
        <v>0.8926769718032577</v>
      </c>
    </row>
    <row r="14">
      <c r="A14" s="12">
        <v>15.0</v>
      </c>
      <c r="B14" s="12">
        <v>15.0</v>
      </c>
      <c r="C14" s="12">
        <v>0.1507249585023892</v>
      </c>
      <c r="D14" s="12">
        <v>0.999509786067766</v>
      </c>
      <c r="E14" s="12">
        <v>0.8608108824962373</v>
      </c>
      <c r="F14" s="12">
        <v>0.9994199568738472</v>
      </c>
      <c r="G14" s="13">
        <v>0.5265924979195831</v>
      </c>
      <c r="H14" s="13">
        <v>0.8946699338192659</v>
      </c>
    </row>
    <row r="15">
      <c r="A15" s="12">
        <v>16.0</v>
      </c>
      <c r="B15" s="12">
        <v>20.0</v>
      </c>
      <c r="C15" s="12">
        <v>0.08005720705348034</v>
      </c>
      <c r="D15" s="12">
        <v>0.9996964941980219</v>
      </c>
      <c r="E15" s="12">
        <v>0.873238861557892</v>
      </c>
      <c r="F15" s="12">
        <v>0.9995700923119266</v>
      </c>
      <c r="G15" s="13">
        <v>0.3136243570434157</v>
      </c>
      <c r="H15" s="13">
        <v>0.9170116842546373</v>
      </c>
    </row>
    <row r="16">
      <c r="A16" s="12">
        <v>17.0</v>
      </c>
      <c r="B16" s="12">
        <v>23.0</v>
      </c>
      <c r="C16" s="12">
        <v>0.5969620452393457</v>
      </c>
      <c r="D16" s="12">
        <v>0.9985421851280426</v>
      </c>
      <c r="E16" s="12">
        <v>0.8933327496976374</v>
      </c>
      <c r="F16" s="12">
        <v>0.9994736382939509</v>
      </c>
      <c r="G16" s="13">
        <v>0.5691035239450954</v>
      </c>
      <c r="H16" s="13">
        <v>0.938797620603701</v>
      </c>
    </row>
    <row r="17">
      <c r="A17" s="12">
        <v>18.0</v>
      </c>
      <c r="B17" s="12">
        <v>23.0</v>
      </c>
      <c r="C17" s="12">
        <v>0.6507505723275671</v>
      </c>
      <c r="D17" s="12">
        <v>0.9994434449715877</v>
      </c>
      <c r="E17" s="12">
        <v>0.8881561939521404</v>
      </c>
      <c r="F17" s="12">
        <v>0.9997594501966544</v>
      </c>
      <c r="G17" s="13">
        <v>0.8249371578096687</v>
      </c>
      <c r="H17" s="13">
        <v>0.9167727087783478</v>
      </c>
    </row>
    <row r="18">
      <c r="A18" s="12">
        <v>19.0</v>
      </c>
      <c r="B18" s="12">
        <v>23.0</v>
      </c>
      <c r="C18" s="12">
        <v>0.7141621363233198</v>
      </c>
      <c r="D18" s="12">
        <v>0.9993113575428523</v>
      </c>
      <c r="E18" s="12">
        <v>0.9133745498713249</v>
      </c>
      <c r="F18" s="12">
        <v>0.9995233033330632</v>
      </c>
      <c r="G18" s="13">
        <v>0.7739429653602324</v>
      </c>
      <c r="H18" s="13">
        <v>0.9329478332113365</v>
      </c>
    </row>
    <row r="19">
      <c r="A19" s="14">
        <v>20.0</v>
      </c>
      <c r="B19" s="14">
        <v>19.0</v>
      </c>
      <c r="C19" s="14">
        <v>0.7492588639325221</v>
      </c>
      <c r="D19" s="14">
        <v>0.9993209763742065</v>
      </c>
      <c r="E19" s="14">
        <v>0.8862464656158627</v>
      </c>
      <c r="F19" s="14">
        <v>0.9994119770905777</v>
      </c>
      <c r="G19" s="15">
        <v>0.7901589608875303</v>
      </c>
      <c r="H19" s="15">
        <v>0.8916346165343809</v>
      </c>
    </row>
    <row r="20">
      <c r="A20" s="14">
        <v>21.0</v>
      </c>
      <c r="B20" s="14">
        <v>20.0</v>
      </c>
      <c r="C20" s="14">
        <v>0.6931099481000831</v>
      </c>
      <c r="D20" s="14">
        <v>0.9993278826614542</v>
      </c>
      <c r="E20" s="14">
        <v>0.8827327735194688</v>
      </c>
      <c r="F20" s="14">
        <v>0.9996810963723454</v>
      </c>
      <c r="G20" s="15">
        <v>0.7068266869633625</v>
      </c>
      <c r="H20" s="15">
        <v>0.8989525869890942</v>
      </c>
    </row>
    <row r="21" ht="15.75" customHeight="1">
      <c r="A21" s="14">
        <v>22.0</v>
      </c>
      <c r="B21" s="14">
        <v>20.0</v>
      </c>
      <c r="C21" s="14">
        <v>0.6713903444983085</v>
      </c>
      <c r="D21" s="14">
        <v>0.9992229089835559</v>
      </c>
      <c r="E21" s="14">
        <v>0.8844438592230505</v>
      </c>
      <c r="F21" s="14">
        <v>0.9997462560899273</v>
      </c>
      <c r="G21" s="15">
        <v>0.6836875365196211</v>
      </c>
      <c r="H21" s="15">
        <v>0.8986784495879745</v>
      </c>
    </row>
    <row r="22" ht="15.75" customHeight="1">
      <c r="A22" s="14">
        <v>23.0</v>
      </c>
      <c r="B22" s="14">
        <v>19.0</v>
      </c>
      <c r="C22" s="14">
        <v>0.6576220129230463</v>
      </c>
      <c r="D22" s="14">
        <v>0.9990145544103225</v>
      </c>
      <c r="E22" s="14">
        <v>0.8714599423791065</v>
      </c>
      <c r="F22" s="14">
        <v>0.9997839524413923</v>
      </c>
      <c r="G22" s="15">
        <v>0.7224580317182049</v>
      </c>
      <c r="H22" s="15">
        <v>0.9178634551403625</v>
      </c>
    </row>
    <row r="23" ht="15.75" customHeight="1">
      <c r="A23" s="14">
        <v>24.0</v>
      </c>
      <c r="B23" s="14">
        <v>18.0</v>
      </c>
      <c r="C23" s="14">
        <v>0.7426042513144391</v>
      </c>
      <c r="D23" s="14">
        <v>0.999631793597873</v>
      </c>
      <c r="E23" s="14">
        <v>0.8867652405859431</v>
      </c>
      <c r="F23" s="14">
        <v>0.999778280926275</v>
      </c>
      <c r="G23" s="15">
        <v>0.8563372247707197</v>
      </c>
      <c r="H23" s="15">
        <v>0.9122023191465953</v>
      </c>
    </row>
    <row r="24" ht="15.75" customHeight="1">
      <c r="A24" s="14">
        <v>25.0</v>
      </c>
      <c r="B24" s="14">
        <v>18.0</v>
      </c>
      <c r="C24" s="14">
        <v>0.8274392394785878</v>
      </c>
      <c r="D24" s="14">
        <v>0.9994278728676027</v>
      </c>
      <c r="E24" s="14">
        <v>0.9009489910373605</v>
      </c>
      <c r="F24" s="14">
        <v>0.9998309336385779</v>
      </c>
      <c r="G24" s="15">
        <v>0.8540702736272349</v>
      </c>
      <c r="H24" s="15">
        <v>0.9486181734443905</v>
      </c>
    </row>
    <row r="25" ht="15.75" customHeight="1">
      <c r="A25" s="14">
        <v>26.0</v>
      </c>
      <c r="B25" s="14">
        <v>17.0</v>
      </c>
      <c r="C25" s="14">
        <v>0.7559990864072575</v>
      </c>
      <c r="D25" s="14">
        <v>0.9996042634845403</v>
      </c>
      <c r="E25" s="14">
        <v>0.8711562914868093</v>
      </c>
      <c r="F25" s="14">
        <v>0.9998218449453157</v>
      </c>
      <c r="G25" s="15">
        <v>0.8513745960198434</v>
      </c>
      <c r="H25" s="15">
        <v>0.9339633098906118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K1:L1"/>
    <mergeCell ref="M1:N1"/>
    <mergeCell ref="O1:P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2025-12-24T10:06:23Z</dcterms:created>
  <dc:creator>openpyxl</dc:creator>
</cp:coreProperties>
</file>